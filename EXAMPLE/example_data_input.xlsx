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brunaue\Documents\MATLAB\sandTES_HEX\EXAMPLE\"/>
    </mc:Choice>
  </mc:AlternateContent>
  <bookViews>
    <workbookView xWindow="0" yWindow="0" windowWidth="17268" windowHeight="888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36" i="1" l="1"/>
  <c r="D37" i="1"/>
  <c r="D39" i="1" s="1"/>
  <c r="D9" i="1" s="1"/>
  <c r="C39" i="1"/>
  <c r="E39" i="1"/>
  <c r="D6" i="1" l="1"/>
  <c r="C14" i="1" l="1"/>
  <c r="D29" i="1"/>
  <c r="D11" i="1"/>
  <c r="E37" i="1" l="1"/>
  <c r="E9" i="1" s="1"/>
  <c r="E36" i="1"/>
  <c r="E33" i="1"/>
  <c r="E29" i="1"/>
  <c r="E11" i="1" s="1"/>
  <c r="E24" i="1"/>
  <c r="E26" i="1" s="1"/>
  <c r="E16" i="1"/>
  <c r="E15" i="1"/>
  <c r="E13" i="1"/>
  <c r="E12" i="1"/>
  <c r="E8" i="1"/>
  <c r="E31" i="1" l="1"/>
  <c r="D33" i="1" l="1"/>
  <c r="C24" i="1" l="1"/>
  <c r="D8" i="1" l="1"/>
  <c r="D31" i="1"/>
  <c r="D3" i="1"/>
  <c r="D24" i="1"/>
  <c r="C36" i="1" l="1"/>
  <c r="D26" i="1" l="1"/>
  <c r="C12" i="1" l="1"/>
  <c r="D12" i="1"/>
  <c r="C8" i="1" l="1"/>
  <c r="C37" i="1" l="1"/>
  <c r="C9" i="1" s="1"/>
  <c r="C33" i="1"/>
  <c r="C29" i="1"/>
  <c r="C26" i="1"/>
  <c r="C31" i="1" l="1"/>
  <c r="C11" i="1"/>
  <c r="C16" i="1" l="1"/>
  <c r="C15" i="1"/>
  <c r="C13" i="1"/>
</calcChain>
</file>

<file path=xl/sharedStrings.xml><?xml version="1.0" encoding="utf-8"?>
<sst xmlns="http://schemas.openxmlformats.org/spreadsheetml/2006/main" count="65" uniqueCount="46">
  <si>
    <t>variable</t>
  </si>
  <si>
    <t>da</t>
  </si>
  <si>
    <t>s</t>
  </si>
  <si>
    <t>K</t>
  </si>
  <si>
    <t>nCells</t>
  </si>
  <si>
    <t>mDot1</t>
  </si>
  <si>
    <t>mDot3</t>
  </si>
  <si>
    <t>nTube</t>
  </si>
  <si>
    <t>l_Tube</t>
  </si>
  <si>
    <t>l_bed</t>
  </si>
  <si>
    <t>w_channel</t>
  </si>
  <si>
    <t>T1_start</t>
  </si>
  <si>
    <t>T3_start</t>
  </si>
  <si>
    <t>p_start</t>
  </si>
  <si>
    <t>Qdot_start</t>
  </si>
  <si>
    <t>unit</t>
  </si>
  <si>
    <t>m</t>
  </si>
  <si>
    <t>-</t>
  </si>
  <si>
    <t>kg/s</t>
  </si>
  <si>
    <t>-</t>
  </si>
  <si>
    <t>m</t>
  </si>
  <si>
    <t>K</t>
  </si>
  <si>
    <t>Pa</t>
  </si>
  <si>
    <t>W</t>
  </si>
  <si>
    <t>l_cavity</t>
  </si>
  <si>
    <t>Module</t>
  </si>
  <si>
    <t>geometry</t>
  </si>
  <si>
    <t>di</t>
  </si>
  <si>
    <t>A</t>
  </si>
  <si>
    <t>m^2</t>
  </si>
  <si>
    <t>n_horiz</t>
  </si>
  <si>
    <t>t_horiz</t>
  </si>
  <si>
    <t>L_horiz</t>
  </si>
  <si>
    <t>L_cavity</t>
  </si>
  <si>
    <t>L_sand_bed</t>
  </si>
  <si>
    <t>n_vert</t>
  </si>
  <si>
    <t>t_vert</t>
  </si>
  <si>
    <t>h_bed</t>
  </si>
  <si>
    <t>flow Nr</t>
  </si>
  <si>
    <t>n_para</t>
  </si>
  <si>
    <t>n_passes</t>
  </si>
  <si>
    <t>w_cannel</t>
  </si>
  <si>
    <t>length_tube</t>
  </si>
  <si>
    <t>SH</t>
  </si>
  <si>
    <t>EVAP</t>
  </si>
  <si>
    <t>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</si>
</sst>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"/>
    <numFmt numFmtId="166" formatCode="0.0"/>
  </numFmts>
  <fonts count="6">
    <font>
      <sz val="11"/>
      <name val="Calibri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 Unicode MS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0" fillId="0" borderId="0" xfId="0" applyFill="1" applyBorder="1"/>
    <xf numFmtId="2" fontId="0" fillId="0" borderId="0" xfId="0" applyNumberFormat="1"/>
    <xf numFmtId="0" fontId="0" fillId="2" borderId="0" xfId="0" applyFill="1"/>
    <xf numFmtId="0" fontId="0" fillId="2" borderId="2" xfId="0" applyFill="1" applyBorder="1"/>
    <xf numFmtId="2" fontId="0" fillId="2" borderId="0" xfId="0" applyNumberFormat="1" applyFill="1" applyBorder="1"/>
    <xf numFmtId="165" fontId="0" fillId="2" borderId="0" xfId="0" applyNumberFormat="1" applyFill="1"/>
    <xf numFmtId="0" fontId="0" fillId="2" borderId="1" xfId="0" applyFill="1" applyBorder="1"/>
    <xf numFmtId="0" fontId="5" fillId="2" borderId="0" xfId="0" applyFont="1" applyFill="1"/>
    <xf numFmtId="0" fontId="4" fillId="2" borderId="1" xfId="0" applyFont="1" applyFill="1" applyBorder="1"/>
    <xf numFmtId="0" fontId="4" fillId="2" borderId="3" xfId="0" applyFont="1" applyFill="1" applyBorder="1"/>
    <xf numFmtId="0" fontId="0" fillId="2" borderId="4" xfId="0" applyFill="1" applyBorder="1"/>
    <xf numFmtId="2" fontId="0" fillId="2" borderId="4" xfId="0" applyNumberFormat="1" applyFill="1" applyBorder="1"/>
    <xf numFmtId="165" fontId="0" fillId="2" borderId="4" xfId="0" applyNumberFormat="1" applyFill="1" applyBorder="1"/>
    <xf numFmtId="0" fontId="0" fillId="2" borderId="3" xfId="0" applyFill="1" applyBorder="1"/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164" fontId="0" fillId="3" borderId="1" xfId="0" applyNumberFormat="1" applyFill="1" applyBorder="1"/>
    <xf numFmtId="165" fontId="0" fillId="3" borderId="0" xfId="0" applyNumberFormat="1" applyFill="1"/>
    <xf numFmtId="0" fontId="0" fillId="3" borderId="0" xfId="0" applyFill="1" applyBorder="1"/>
    <xf numFmtId="2" fontId="0" fillId="3" borderId="0" xfId="0" applyNumberFormat="1" applyFill="1" applyBorder="1"/>
    <xf numFmtId="165" fontId="0" fillId="3" borderId="1" xfId="0" applyNumberFormat="1" applyFill="1" applyBorder="1"/>
    <xf numFmtId="2" fontId="0" fillId="3" borderId="0" xfId="0" applyNumberFormat="1" applyFill="1"/>
    <xf numFmtId="166" fontId="0" fillId="3" borderId="1" xfId="0" applyNumberFormat="1" applyFill="1" applyBorder="1"/>
    <xf numFmtId="0" fontId="0" fillId="3" borderId="0" xfId="0" applyFont="1" applyFill="1"/>
    <xf numFmtId="0" fontId="1" fillId="3" borderId="6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4" xfId="0" applyFill="1" applyBorder="1"/>
    <xf numFmtId="164" fontId="0" fillId="3" borderId="3" xfId="0" applyNumberFormat="1" applyFill="1" applyBorder="1"/>
    <xf numFmtId="165" fontId="0" fillId="3" borderId="4" xfId="0" applyNumberFormat="1" applyFill="1" applyBorder="1"/>
    <xf numFmtId="2" fontId="0" fillId="3" borderId="4" xfId="0" applyNumberFormat="1" applyFill="1" applyBorder="1"/>
    <xf numFmtId="165" fontId="0" fillId="3" borderId="3" xfId="0" applyNumberFormat="1" applyFill="1" applyBorder="1"/>
    <xf numFmtId="166" fontId="0" fillId="3" borderId="3" xfId="0" applyNumberFormat="1" applyFill="1" applyBorder="1"/>
    <xf numFmtId="0" fontId="0" fillId="3" borderId="4" xfId="0" applyFont="1" applyFill="1" applyBorder="1"/>
    <xf numFmtId="0" fontId="0" fillId="3" borderId="3" xfId="0" applyFill="1" applyBorder="1"/>
    <xf numFmtId="0" fontId="3" fillId="3" borderId="5" xfId="0" applyFont="1" applyFill="1" applyBorder="1" applyAlignment="1">
      <alignment horizontal="left" vertical="center"/>
    </xf>
    <xf numFmtId="2" fontId="0" fillId="2" borderId="0" xfId="0" applyNumberFormat="1" applyFill="1"/>
    <xf numFmtId="166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7620</xdr:rowOff>
    </xdr:from>
    <xdr:to>
      <xdr:col>8</xdr:col>
      <xdr:colOff>487680</xdr:colOff>
      <xdr:row>2</xdr:row>
      <xdr:rowOff>167640</xdr:rowOff>
    </xdr:to>
    <xdr:sp macro="" textlink="">
      <xdr:nvSpPr>
        <xdr:cNvPr id="2" name="Textfeld 1"/>
        <xdr:cNvSpPr txBox="1"/>
      </xdr:nvSpPr>
      <xdr:spPr>
        <a:xfrm>
          <a:off x="5273040" y="190500"/>
          <a:ext cx="2225040" cy="3429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/>
            <a:t>This part is read into Matlab</a:t>
          </a:r>
        </a:p>
      </xdr:txBody>
    </xdr:sp>
    <xdr:clientData/>
  </xdr:twoCellAnchor>
  <xdr:twoCellAnchor>
    <xdr:from>
      <xdr:col>6</xdr:col>
      <xdr:colOff>7620</xdr:colOff>
      <xdr:row>19</xdr:row>
      <xdr:rowOff>83820</xdr:rowOff>
    </xdr:from>
    <xdr:to>
      <xdr:col>9</xdr:col>
      <xdr:colOff>320040</xdr:colOff>
      <xdr:row>21</xdr:row>
      <xdr:rowOff>0</xdr:rowOff>
    </xdr:to>
    <xdr:sp macro="" textlink="">
      <xdr:nvSpPr>
        <xdr:cNvPr id="3" name="Textfeld 2"/>
        <xdr:cNvSpPr txBox="1"/>
      </xdr:nvSpPr>
      <xdr:spPr>
        <a:xfrm>
          <a:off x="5265420" y="3558540"/>
          <a:ext cx="2941320" cy="3886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/>
            <a:t>This table can be used for geometry design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D36" sqref="D36"/>
    </sheetView>
  </sheetViews>
  <sheetFormatPr baseColWidth="10" defaultColWidth="12.77734375" defaultRowHeight="14.4"/>
  <cols>
    <col min="7" max="7" width="12.77734375" customWidth="1"/>
  </cols>
  <sheetData>
    <row r="1" spans="1:5">
      <c r="A1" s="11" t="s">
        <v>0</v>
      </c>
      <c r="B1" s="11" t="s">
        <v>15</v>
      </c>
      <c r="C1" s="11" t="s">
        <v>43</v>
      </c>
      <c r="D1" s="11" t="s">
        <v>44</v>
      </c>
      <c r="E1" s="12" t="s">
        <v>45</v>
      </c>
    </row>
    <row r="2" spans="1:5">
      <c r="A2" s="5" t="s">
        <v>1</v>
      </c>
      <c r="B2" s="5" t="s">
        <v>16</v>
      </c>
      <c r="C2" s="5">
        <v>3.7999999999999999E-2</v>
      </c>
      <c r="D2" s="5">
        <v>3.7999999999999999E-2</v>
      </c>
      <c r="E2" s="13">
        <v>3.7999999999999999E-2</v>
      </c>
    </row>
    <row r="3" spans="1:5">
      <c r="A3" s="5" t="s">
        <v>2</v>
      </c>
      <c r="B3" s="5" t="s">
        <v>16</v>
      </c>
      <c r="C3" s="5">
        <v>4.0000000000000001E-3</v>
      </c>
      <c r="D3" s="5">
        <f>D25</f>
        <v>4.0000000000000001E-3</v>
      </c>
      <c r="E3" s="13">
        <v>4.0000000000000001E-3</v>
      </c>
    </row>
    <row r="4" spans="1:5">
      <c r="A4" s="5" t="s">
        <v>3</v>
      </c>
      <c r="B4" s="5" t="s">
        <v>16</v>
      </c>
      <c r="C4" s="5">
        <v>4.0000000000000003E-5</v>
      </c>
      <c r="D4" s="5">
        <v>4.0000000000000003E-5</v>
      </c>
      <c r="E4" s="13">
        <v>4.0000000000000003E-5</v>
      </c>
    </row>
    <row r="5" spans="1:5">
      <c r="A5" s="5" t="s">
        <v>4</v>
      </c>
      <c r="B5" s="5" t="s">
        <v>17</v>
      </c>
      <c r="C5" s="5">
        <v>50</v>
      </c>
      <c r="D5" s="5">
        <v>50</v>
      </c>
      <c r="E5" s="13">
        <v>50</v>
      </c>
    </row>
    <row r="6" spans="1:5">
      <c r="A6" s="5" t="s">
        <v>5</v>
      </c>
      <c r="B6" s="5" t="s">
        <v>18</v>
      </c>
      <c r="C6" s="42">
        <v>52.103666666666669</v>
      </c>
      <c r="D6" s="5">
        <f>E6*10</f>
        <v>523</v>
      </c>
      <c r="E6" s="13">
        <v>52.3</v>
      </c>
    </row>
    <row r="7" spans="1:5">
      <c r="A7" s="5" t="s">
        <v>6</v>
      </c>
      <c r="B7" s="5" t="s">
        <v>18</v>
      </c>
      <c r="C7" s="5">
        <v>239.43100000000001</v>
      </c>
      <c r="D7" s="5">
        <v>239.43100000000001</v>
      </c>
      <c r="E7" s="13">
        <v>239.43100000000001</v>
      </c>
    </row>
    <row r="8" spans="1:5">
      <c r="A8" s="5" t="s">
        <v>7</v>
      </c>
      <c r="B8" s="5" t="s">
        <v>19</v>
      </c>
      <c r="C8" s="5">
        <f t="shared" ref="C8" si="0">C36</f>
        <v>80</v>
      </c>
      <c r="D8" s="5">
        <f>D36</f>
        <v>300</v>
      </c>
      <c r="E8" s="13">
        <f t="shared" ref="E8" si="1">E36</f>
        <v>135</v>
      </c>
    </row>
    <row r="9" spans="1:5">
      <c r="A9" s="5" t="s">
        <v>8</v>
      </c>
      <c r="B9" s="5" t="s">
        <v>20</v>
      </c>
      <c r="C9" s="5">
        <f t="shared" ref="C9" si="2">C39</f>
        <v>24</v>
      </c>
      <c r="D9" s="5">
        <f>D39</f>
        <v>32</v>
      </c>
      <c r="E9" s="13">
        <f t="shared" ref="E9" si="3">E39</f>
        <v>144</v>
      </c>
    </row>
    <row r="10" spans="1:5">
      <c r="A10" s="6" t="s">
        <v>24</v>
      </c>
      <c r="B10" s="5"/>
      <c r="C10" s="5">
        <v>0</v>
      </c>
      <c r="D10" s="7">
        <v>1.2</v>
      </c>
      <c r="E10" s="14">
        <v>1.2</v>
      </c>
    </row>
    <row r="11" spans="1:5">
      <c r="A11" s="5" t="s">
        <v>9</v>
      </c>
      <c r="B11" s="5" t="s">
        <v>20</v>
      </c>
      <c r="C11" s="8">
        <f t="shared" ref="C11" si="4">C29</f>
        <v>0.60799999999999998</v>
      </c>
      <c r="D11" s="8">
        <f>D29</f>
        <v>2.2799999999999998</v>
      </c>
      <c r="E11" s="15">
        <f t="shared" ref="E11" si="5">E29</f>
        <v>4.1040000000000001</v>
      </c>
    </row>
    <row r="12" spans="1:5">
      <c r="A12" s="9" t="s">
        <v>10</v>
      </c>
      <c r="B12" s="9" t="s">
        <v>20</v>
      </c>
      <c r="C12" s="9">
        <f t="shared" ref="C12:E12" si="6">C38</f>
        <v>6</v>
      </c>
      <c r="D12" s="9">
        <f t="shared" si="6"/>
        <v>8</v>
      </c>
      <c r="E12" s="16">
        <f t="shared" si="6"/>
        <v>8</v>
      </c>
    </row>
    <row r="13" spans="1:5">
      <c r="A13" s="5" t="s">
        <v>11</v>
      </c>
      <c r="B13" s="5" t="s">
        <v>21</v>
      </c>
      <c r="C13" s="5">
        <f>273.15 + 342.12</f>
        <v>615.27</v>
      </c>
      <c r="D13" s="41">
        <v>615.13496717099997</v>
      </c>
      <c r="E13" s="14">
        <f>273.15 + 157.187</f>
        <v>430.33699999999999</v>
      </c>
    </row>
    <row r="14" spans="1:5">
      <c r="A14" s="5" t="s">
        <v>12</v>
      </c>
      <c r="B14" s="5" t="s">
        <v>21</v>
      </c>
      <c r="C14" s="10">
        <f>600+273.15</f>
        <v>873.15</v>
      </c>
      <c r="D14" s="5"/>
      <c r="E14" s="13"/>
    </row>
    <row r="15" spans="1:5">
      <c r="A15" s="5" t="s">
        <v>13</v>
      </c>
      <c r="B15" s="5" t="s">
        <v>22</v>
      </c>
      <c r="C15" s="5">
        <f>149.929 * 10^5</f>
        <v>14992900</v>
      </c>
      <c r="D15" s="5">
        <v>14992900</v>
      </c>
      <c r="E15" s="13">
        <f>150*10^5</f>
        <v>15000000</v>
      </c>
    </row>
    <row r="16" spans="1:5">
      <c r="A16" s="9" t="s">
        <v>14</v>
      </c>
      <c r="B16" s="9" t="s">
        <v>23</v>
      </c>
      <c r="C16" s="9">
        <f>87022.209 * 10^3/3</f>
        <v>29007403</v>
      </c>
      <c r="D16" s="9">
        <v>49060000</v>
      </c>
      <c r="E16" s="16">
        <f>42201.004 * 10^3</f>
        <v>42201004</v>
      </c>
    </row>
    <row r="21" spans="1:5" ht="22.8">
      <c r="A21" s="29" t="s">
        <v>25</v>
      </c>
      <c r="B21" s="31"/>
      <c r="C21" s="31" t="s">
        <v>43</v>
      </c>
      <c r="D21" s="31" t="s">
        <v>44</v>
      </c>
      <c r="E21" s="30" t="s">
        <v>45</v>
      </c>
    </row>
    <row r="22" spans="1:5" ht="17.399999999999999">
      <c r="A22" s="40" t="s">
        <v>26</v>
      </c>
      <c r="B22" s="31"/>
      <c r="C22" s="31"/>
      <c r="D22" s="31"/>
      <c r="E22" s="30"/>
    </row>
    <row r="23" spans="1:5">
      <c r="A23" s="18" t="s">
        <v>1</v>
      </c>
      <c r="B23" s="18"/>
      <c r="C23" s="18">
        <v>3.7999999999999999E-2</v>
      </c>
      <c r="D23" s="18">
        <v>4.4999999999999998E-2</v>
      </c>
      <c r="E23" s="32">
        <v>3.7999999999999999E-2</v>
      </c>
    </row>
    <row r="24" spans="1:5">
      <c r="A24" s="17" t="s">
        <v>27</v>
      </c>
      <c r="B24" s="18" t="s">
        <v>16</v>
      </c>
      <c r="C24" s="18">
        <f t="shared" ref="C24:E24" si="7">C23-2*C25</f>
        <v>0.03</v>
      </c>
      <c r="D24" s="18">
        <f t="shared" si="7"/>
        <v>3.6999999999999998E-2</v>
      </c>
      <c r="E24" s="32">
        <f t="shared" si="7"/>
        <v>0.03</v>
      </c>
    </row>
    <row r="25" spans="1:5">
      <c r="A25" s="17" t="s">
        <v>2</v>
      </c>
      <c r="B25" s="18" t="s">
        <v>16</v>
      </c>
      <c r="C25" s="18">
        <v>4.0000000000000001E-3</v>
      </c>
      <c r="D25" s="18">
        <v>4.0000000000000001E-3</v>
      </c>
      <c r="E25" s="32">
        <v>4.0000000000000001E-3</v>
      </c>
    </row>
    <row r="26" spans="1:5">
      <c r="A26" s="19" t="s">
        <v>28</v>
      </c>
      <c r="B26" s="20" t="s">
        <v>29</v>
      </c>
      <c r="C26" s="21">
        <f t="shared" ref="C26" si="8">C24^2*PI()/4</f>
        <v>7.0685834705770342E-4</v>
      </c>
      <c r="D26" s="21">
        <f>D24^2*PI()/4</f>
        <v>1.0752100856911066E-3</v>
      </c>
      <c r="E26" s="33">
        <f t="shared" ref="E26" si="9">E24^2*PI()/4</f>
        <v>7.0685834705770342E-4</v>
      </c>
    </row>
    <row r="27" spans="1:5">
      <c r="A27" s="18" t="s">
        <v>30</v>
      </c>
      <c r="B27" s="18"/>
      <c r="C27" s="18">
        <v>8</v>
      </c>
      <c r="D27" s="18">
        <v>30</v>
      </c>
      <c r="E27" s="32">
        <v>54</v>
      </c>
    </row>
    <row r="28" spans="1:5">
      <c r="A28" s="17" t="s">
        <v>31</v>
      </c>
      <c r="B28" s="18"/>
      <c r="C28" s="18">
        <v>7.5999999999999998E-2</v>
      </c>
      <c r="D28" s="18">
        <v>7.5999999999999998E-2</v>
      </c>
      <c r="E28" s="32">
        <v>7.5999999999999998E-2</v>
      </c>
    </row>
    <row r="29" spans="1:5">
      <c r="A29" s="18" t="s">
        <v>32</v>
      </c>
      <c r="B29" s="18" t="s">
        <v>16</v>
      </c>
      <c r="C29" s="22">
        <f t="shared" ref="C29" si="10">C27*C28</f>
        <v>0.60799999999999998</v>
      </c>
      <c r="D29" s="22">
        <f>D27*D28</f>
        <v>2.2799999999999998</v>
      </c>
      <c r="E29" s="34">
        <f t="shared" ref="E29" si="11">E27*E28</f>
        <v>4.1040000000000001</v>
      </c>
    </row>
    <row r="30" spans="1:5">
      <c r="A30" s="23" t="s">
        <v>33</v>
      </c>
      <c r="B30" s="23" t="s">
        <v>16</v>
      </c>
      <c r="C30" s="24"/>
      <c r="D30" s="24">
        <v>0.6</v>
      </c>
      <c r="E30" s="35">
        <v>1.2</v>
      </c>
    </row>
    <row r="31" spans="1:5">
      <c r="A31" s="20" t="s">
        <v>34</v>
      </c>
      <c r="B31" s="20" t="s">
        <v>16</v>
      </c>
      <c r="C31" s="25">
        <f t="shared" ref="C31" si="12">C29+C30</f>
        <v>0.60799999999999998</v>
      </c>
      <c r="D31" s="25">
        <f>D29+D30</f>
        <v>2.88</v>
      </c>
      <c r="E31" s="36">
        <f>E29+E30</f>
        <v>5.3040000000000003</v>
      </c>
    </row>
    <row r="32" spans="1:5">
      <c r="A32" s="18" t="s">
        <v>35</v>
      </c>
      <c r="B32" s="18"/>
      <c r="C32" s="18">
        <v>40</v>
      </c>
      <c r="D32" s="18">
        <v>40</v>
      </c>
      <c r="E32" s="32">
        <v>45</v>
      </c>
    </row>
    <row r="33" spans="1:5">
      <c r="A33" s="17" t="s">
        <v>36</v>
      </c>
      <c r="B33" s="18"/>
      <c r="C33" s="26">
        <f t="shared" ref="C33:E33" si="13">C34/C32</f>
        <v>7.4999999999999997E-2</v>
      </c>
      <c r="D33" s="26">
        <f t="shared" si="13"/>
        <v>7.4999999999999997E-2</v>
      </c>
      <c r="E33" s="35">
        <f t="shared" si="13"/>
        <v>6.6666666666666666E-2</v>
      </c>
    </row>
    <row r="34" spans="1:5">
      <c r="A34" s="19" t="s">
        <v>37</v>
      </c>
      <c r="B34" s="20" t="s">
        <v>16</v>
      </c>
      <c r="C34" s="27">
        <v>3</v>
      </c>
      <c r="D34" s="27">
        <v>3</v>
      </c>
      <c r="E34" s="37">
        <v>3</v>
      </c>
    </row>
    <row r="35" spans="1:5">
      <c r="A35" s="18" t="s">
        <v>38</v>
      </c>
      <c r="B35" s="18"/>
      <c r="C35" s="18">
        <v>2</v>
      </c>
      <c r="D35" s="18">
        <v>10</v>
      </c>
      <c r="E35" s="32">
        <v>3</v>
      </c>
    </row>
    <row r="36" spans="1:5">
      <c r="A36" s="18" t="s">
        <v>39</v>
      </c>
      <c r="B36" s="18"/>
      <c r="C36" s="28">
        <f>C35*C32</f>
        <v>80</v>
      </c>
      <c r="D36" s="28">
        <f>D35*D27</f>
        <v>300</v>
      </c>
      <c r="E36" s="38">
        <f>E35*E32</f>
        <v>135</v>
      </c>
    </row>
    <row r="37" spans="1:5">
      <c r="A37" s="18" t="s">
        <v>40</v>
      </c>
      <c r="B37" s="18"/>
      <c r="C37" s="18">
        <f>C27/C35</f>
        <v>4</v>
      </c>
      <c r="D37" s="18">
        <f>D32/D35</f>
        <v>4</v>
      </c>
      <c r="E37" s="32">
        <f>E27/E35</f>
        <v>18</v>
      </c>
    </row>
    <row r="38" spans="1:5">
      <c r="A38" s="18" t="s">
        <v>41</v>
      </c>
      <c r="B38" s="18" t="s">
        <v>16</v>
      </c>
      <c r="C38" s="18">
        <v>6</v>
      </c>
      <c r="D38" s="18">
        <v>8</v>
      </c>
      <c r="E38" s="32">
        <v>8</v>
      </c>
    </row>
    <row r="39" spans="1:5">
      <c r="A39" s="20" t="s">
        <v>42</v>
      </c>
      <c r="B39" s="20" t="s">
        <v>16</v>
      </c>
      <c r="C39" s="20">
        <f>C38*C37</f>
        <v>24</v>
      </c>
      <c r="D39" s="20">
        <f>D38*D37</f>
        <v>32</v>
      </c>
      <c r="E39" s="39">
        <f>E38*E37</f>
        <v>144</v>
      </c>
    </row>
    <row r="40" spans="1:5">
      <c r="A40" s="1"/>
      <c r="B40" s="1"/>
      <c r="D40" s="1"/>
    </row>
    <row r="41" spans="1:5">
      <c r="A41" s="1"/>
      <c r="B41" s="1"/>
      <c r="D41" s="2"/>
    </row>
    <row r="43" spans="1:5">
      <c r="A43" s="3"/>
      <c r="D43" s="4"/>
    </row>
    <row r="45" spans="1:5">
      <c r="D45" s="4"/>
    </row>
  </sheetData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Theresa Brunauer</cp:lastModifiedBy>
  <dcterms:modified xsi:type="dcterms:W3CDTF">2024-07-30T07:34:39Z</dcterms:modified>
</cp:coreProperties>
</file>